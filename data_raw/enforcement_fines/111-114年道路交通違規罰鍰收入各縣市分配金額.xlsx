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vel\Desktop\第48期\★★第48期研究報告_第2組(作業中)\"/>
    </mc:Choice>
  </mc:AlternateContent>
  <xr:revisionPtr revIDLastSave="0" documentId="13_ncr:1_{42283297-7C3F-4524-9E87-E73993191C0D}" xr6:coauthVersionLast="47" xr6:coauthVersionMax="47" xr10:uidLastSave="{00000000-0000-0000-0000-000000000000}"/>
  <bookViews>
    <workbookView xWindow="-110" yWindow="-110" windowWidth="19420" windowHeight="11500" activeTab="3" xr2:uid="{F346F0E5-1CE0-4663-8ECF-F7F729EBE7FD}"/>
  </bookViews>
  <sheets>
    <sheet name="每十萬人死亡人數" sheetId="1" r:id="rId1"/>
    <sheet name="道路交通違規罰鍰收入各縣市分配金額" sheetId="3" r:id="rId2"/>
    <sheet name="全國死亡人數前十大運具統計" sheetId="4" r:id="rId3"/>
    <sheet name="全國高齡者(65歲以上)件數前十大運具統計" sheetId="5" r:id="rId4"/>
  </sheets>
  <definedNames>
    <definedName name="_xlnm._FilterDatabase" localSheetId="1" hidden="1">道路交通違規罰鍰收入各縣市分配金額!$A$4:$G$28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3" l="1"/>
  <c r="F26" i="3"/>
  <c r="F25" i="3"/>
  <c r="F24" i="3"/>
  <c r="F19" i="3"/>
  <c r="F14" i="3"/>
  <c r="F15" i="3"/>
  <c r="F6" i="3"/>
  <c r="F20" i="3"/>
  <c r="F11" i="3"/>
  <c r="F5" i="3"/>
  <c r="F16" i="3"/>
  <c r="F10" i="3"/>
  <c r="F8" i="3"/>
  <c r="F17" i="3"/>
  <c r="F12" i="3"/>
  <c r="F23" i="3"/>
  <c r="F22" i="3"/>
  <c r="F7" i="3"/>
  <c r="F9" i="3"/>
  <c r="F21" i="3"/>
  <c r="F18" i="3"/>
  <c r="F13" i="3"/>
  <c r="G11" i="3" l="1"/>
  <c r="G18" i="3"/>
  <c r="G6" i="3"/>
  <c r="G8" i="3"/>
  <c r="G23" i="3"/>
  <c r="G12" i="3"/>
  <c r="G17" i="3"/>
  <c r="G13" i="3"/>
  <c r="G9" i="3"/>
  <c r="G7" i="3"/>
  <c r="G15" i="3"/>
  <c r="G5" i="3"/>
  <c r="G21" i="3"/>
  <c r="G20" i="3"/>
  <c r="G22" i="3"/>
  <c r="G14" i="3"/>
  <c r="G19" i="3"/>
  <c r="G24" i="3"/>
  <c r="G25" i="3"/>
  <c r="G10" i="3"/>
  <c r="G26" i="3"/>
  <c r="G16" i="3"/>
</calcChain>
</file>

<file path=xl/sharedStrings.xml><?xml version="1.0" encoding="utf-8"?>
<sst xmlns="http://schemas.openxmlformats.org/spreadsheetml/2006/main" count="88" uniqueCount="55">
  <si>
    <t>年度</t>
    <phoneticPr fontId="1" type="noConversion"/>
  </si>
  <si>
    <t>地區</t>
    <phoneticPr fontId="1" type="noConversion"/>
  </si>
  <si>
    <t>雲林縣、嘉義縣、屏東縣、花蓮縣、臺東縣</t>
    <phoneticPr fontId="1" type="noConversion"/>
  </si>
  <si>
    <t>111</t>
    <phoneticPr fontId="1" type="noConversion"/>
  </si>
  <si>
    <t>112</t>
    <phoneticPr fontId="1" type="noConversion"/>
  </si>
  <si>
    <t>113</t>
    <phoneticPr fontId="1" type="noConversion"/>
  </si>
  <si>
    <t>114</t>
    <phoneticPr fontId="1" type="noConversion"/>
  </si>
  <si>
    <t>115.1-6月</t>
    <phoneticPr fontId="1" type="noConversion"/>
  </si>
  <si>
    <t>南投縣、嘉義縣、屏東縣、花蓮縣、臺東縣</t>
    <phoneticPr fontId="1" type="noConversion"/>
  </si>
  <si>
    <r>
      <rPr>
        <sz val="12"/>
        <color rgb="FFFF0000"/>
        <rFont val="微軟正黑體"/>
        <family val="2"/>
        <charset val="136"/>
      </rPr>
      <t>雲林縣、嘉義縣、屏東縣、</t>
    </r>
    <r>
      <rPr>
        <sz val="12"/>
        <color theme="3" tint="0.249977111117893"/>
        <rFont val="微軟正黑體"/>
        <family val="2"/>
        <charset val="136"/>
      </rPr>
      <t>宜蘭縣、</t>
    </r>
    <r>
      <rPr>
        <sz val="12"/>
        <color rgb="FFFF0000"/>
        <rFont val="微軟正黑體"/>
        <family val="2"/>
        <charset val="136"/>
      </rPr>
      <t>花蓮縣、臺東縣</t>
    </r>
    <phoneticPr fontId="1" type="noConversion"/>
  </si>
  <si>
    <r>
      <t>雲林縣、嘉義縣、屏東縣、</t>
    </r>
    <r>
      <rPr>
        <sz val="12"/>
        <color theme="3" tint="0.249977111117893"/>
        <rFont val="微軟正黑體"/>
        <family val="2"/>
        <charset val="136"/>
      </rPr>
      <t>宜蘭縣、</t>
    </r>
    <r>
      <rPr>
        <sz val="12"/>
        <color theme="1"/>
        <rFont val="微軟正黑體"/>
        <family val="2"/>
        <charset val="136"/>
      </rPr>
      <t>臺東縣</t>
    </r>
    <phoneticPr fontId="1" type="noConversion"/>
  </si>
  <si>
    <r>
      <t>各縣市每十萬人死亡人數</t>
    </r>
    <r>
      <rPr>
        <b/>
        <sz val="12"/>
        <color rgb="FFFF0000"/>
        <rFont val="微軟正黑體"/>
        <family val="2"/>
        <charset val="136"/>
      </rPr>
      <t>重複出現縣市</t>
    </r>
    <r>
      <rPr>
        <sz val="12"/>
        <color theme="1"/>
        <rFont val="微軟正黑體"/>
        <family val="2"/>
        <charset val="136"/>
      </rPr>
      <t>(預算執行、補助)</t>
    </r>
    <phoneticPr fontId="1" type="noConversion"/>
  </si>
  <si>
    <t>道路交通違規罰鍰收入各縣市分配金額</t>
    <phoneticPr fontId="1" type="noConversion"/>
  </si>
  <si>
    <t>單位：元</t>
    <phoneticPr fontId="1" type="noConversion"/>
  </si>
  <si>
    <t>分配單位名稱</t>
  </si>
  <si>
    <t>111年</t>
  </si>
  <si>
    <t>112年</t>
  </si>
  <si>
    <t>113年</t>
  </si>
  <si>
    <t>114年</t>
  </si>
  <si>
    <t>合計</t>
    <phoneticPr fontId="1" type="noConversion"/>
  </si>
  <si>
    <t>排名</t>
    <phoneticPr fontId="1" type="noConversion"/>
  </si>
  <si>
    <t>臺北市</t>
  </si>
  <si>
    <t>高雄市</t>
  </si>
  <si>
    <t>基隆市</t>
  </si>
  <si>
    <t>新竹市</t>
  </si>
  <si>
    <t>臺中市</t>
  </si>
  <si>
    <t>嘉義市</t>
  </si>
  <si>
    <t>臺南市</t>
  </si>
  <si>
    <t>新北市</t>
  </si>
  <si>
    <t>桃園市</t>
  </si>
  <si>
    <t>新竹縣</t>
  </si>
  <si>
    <t>苗栗縣</t>
  </si>
  <si>
    <t>南投縣</t>
  </si>
  <si>
    <t>彰化縣</t>
  </si>
  <si>
    <t>雲林縣</t>
  </si>
  <si>
    <t>嘉義縣</t>
  </si>
  <si>
    <t>屏東縣</t>
  </si>
  <si>
    <t>宜蘭縣</t>
  </si>
  <si>
    <t>花蓮縣</t>
  </si>
  <si>
    <t>臺東縣</t>
  </si>
  <si>
    <t>澎湖縣</t>
  </si>
  <si>
    <t>金門縣</t>
  </si>
  <si>
    <t>連江縣</t>
  </si>
  <si>
    <t>小計</t>
  </si>
  <si>
    <t>國道公路建設管理基金</t>
  </si>
  <si>
    <t>-</t>
  </si>
  <si>
    <t>處罰機關</t>
  </si>
  <si>
    <t>舉發機關</t>
  </si>
  <si>
    <t>國道公路警察局</t>
  </si>
  <si>
    <t>警政署</t>
  </si>
  <si>
    <t>國庫</t>
  </si>
  <si>
    <t>解繳國庫</t>
  </si>
  <si>
    <t>罰鍰總收入</t>
  </si>
  <si>
    <t>資料來源：https://data.gov.tw/dataset/167869  政府資料開放平台</t>
    <phoneticPr fontId="1" type="noConversion"/>
  </si>
  <si>
    <t>資料來源：https://roadsafety.tw/ 道安總動員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</si>
</sst>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7" x14ac:knownFonts="1"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theme="3" tint="0.249977111117893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3" tint="0.499984740745262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0" fontId="0" fillId="0" borderId="0" xfId="0" applyAlignment="1">
      <alignment horizontal="right" vertical="center" indent="1"/>
    </xf>
    <xf numFmtId="176" fontId="0" fillId="0" borderId="0" xfId="1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  <xf numFmtId="176" fontId="0" fillId="2" borderId="0" xfId="1" applyNumberFormat="1" applyFont="1" applyFill="1">
      <alignment vertical="center"/>
    </xf>
    <xf numFmtId="176" fontId="0" fillId="2" borderId="0" xfId="0" applyNumberFormat="1" applyFill="1">
      <alignment vertical="center"/>
    </xf>
    <xf numFmtId="0" fontId="3" fillId="0" borderId="0" xfId="0" applyFont="1">
      <alignment vertical="center"/>
    </xf>
    <xf numFmtId="176" fontId="3" fillId="0" borderId="0" xfId="1" applyNumberFormat="1" applyFont="1">
      <alignment vertical="center"/>
    </xf>
    <xf numFmtId="176" fontId="3" fillId="0" borderId="0" xfId="0" applyNumberFormat="1" applyFont="1">
      <alignment vertical="center"/>
    </xf>
    <xf numFmtId="0" fontId="3" fillId="2" borderId="0" xfId="0" applyFont="1" applyFill="1">
      <alignment vertical="center"/>
    </xf>
    <xf numFmtId="176" fontId="3" fillId="2" borderId="0" xfId="1" applyNumberFormat="1" applyFont="1" applyFill="1">
      <alignment vertical="center"/>
    </xf>
    <xf numFmtId="176" fontId="3" fillId="2" borderId="0" xfId="0" applyNumberFormat="1" applyFont="1" applyFill="1">
      <alignment vertical="center"/>
    </xf>
    <xf numFmtId="0" fontId="6" fillId="0" borderId="0" xfId="0" applyFont="1">
      <alignment vertical="center"/>
    </xf>
    <xf numFmtId="176" fontId="6" fillId="0" borderId="0" xfId="1" applyNumberFormat="1" applyFont="1">
      <alignment vertical="center"/>
    </xf>
    <xf numFmtId="176" fontId="6" fillId="0" borderId="0" xfId="0" applyNumberFormat="1" applyFont="1">
      <alignment vertical="center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8995</xdr:rowOff>
    </xdr:from>
    <xdr:to>
      <xdr:col>7</xdr:col>
      <xdr:colOff>314114</xdr:colOff>
      <xdr:row>28</xdr:row>
      <xdr:rowOff>187107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C97E34C-80D8-17DA-5D18-5CE25CD35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05995"/>
          <a:ext cx="8934239" cy="4345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190500</xdr:rowOff>
    </xdr:from>
    <xdr:to>
      <xdr:col>7</xdr:col>
      <xdr:colOff>342806</xdr:colOff>
      <xdr:row>50</xdr:row>
      <xdr:rowOff>58209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9E41F57-36AA-DBB1-8FF5-31A2959EF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54688"/>
          <a:ext cx="8962931" cy="4233334"/>
        </a:xfrm>
        <a:prstGeom prst="rect">
          <a:avLst/>
        </a:prstGeom>
      </xdr:spPr>
    </xdr:pic>
    <xdr:clientData/>
  </xdr:twoCellAnchor>
  <xdr:twoCellAnchor editAs="oneCell">
    <xdr:from>
      <xdr:col>7</xdr:col>
      <xdr:colOff>296333</xdr:colOff>
      <xdr:row>7</xdr:row>
      <xdr:rowOff>52917</xdr:rowOff>
    </xdr:from>
    <xdr:to>
      <xdr:col>18</xdr:col>
      <xdr:colOff>430997</xdr:colOff>
      <xdr:row>28</xdr:row>
      <xdr:rowOff>190499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5638DCC-517F-B420-5BD5-EE3970542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942916" y="1259417"/>
          <a:ext cx="9098748" cy="4360333"/>
        </a:xfrm>
        <a:prstGeom prst="rect">
          <a:avLst/>
        </a:prstGeom>
      </xdr:spPr>
    </xdr:pic>
    <xdr:clientData/>
  </xdr:twoCellAnchor>
  <xdr:twoCellAnchor editAs="oneCell">
    <xdr:from>
      <xdr:col>7</xdr:col>
      <xdr:colOff>338666</xdr:colOff>
      <xdr:row>28</xdr:row>
      <xdr:rowOff>116417</xdr:rowOff>
    </xdr:from>
    <xdr:to>
      <xdr:col>18</xdr:col>
      <xdr:colOff>497415</xdr:colOff>
      <xdr:row>50</xdr:row>
      <xdr:rowOff>100406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3988AB9E-525E-84C3-5C8F-42769AEDE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85249" y="5545667"/>
          <a:ext cx="9122833" cy="44078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2AC3-9BDB-4A52-9CA4-5DC04307052B}">
  <sheetPr>
    <tabColor rgb="FF92D050"/>
  </sheetPr>
  <dimension ref="A1:B8"/>
  <sheetViews>
    <sheetView zoomScale="80" zoomScaleNormal="80" workbookViewId="0">
      <selection activeCell="B4" sqref="B4"/>
    </sheetView>
  </sheetViews>
  <sheetFormatPr defaultRowHeight="15.5" x14ac:dyDescent="0.35"/>
  <cols>
    <col min="1" max="1" width="8.92578125" style="1" customWidth="1"/>
    <col min="2" max="2" width="42.5" bestFit="1" customWidth="1"/>
  </cols>
  <sheetData>
    <row r="1" spans="1:2" x14ac:dyDescent="0.35">
      <c r="A1" s="1" t="s">
        <v>54</v>
      </c>
    </row>
    <row r="2" spans="1:2" ht="16" x14ac:dyDescent="0.35">
      <c r="A2" s="1" t="s">
        <v>11</v>
      </c>
    </row>
    <row r="3" spans="1:2" x14ac:dyDescent="0.35">
      <c r="A3" s="1" t="s">
        <v>0</v>
      </c>
      <c r="B3" t="s">
        <v>1</v>
      </c>
    </row>
    <row r="4" spans="1:2" x14ac:dyDescent="0.35">
      <c r="A4" s="1" t="s">
        <v>3</v>
      </c>
      <c r="B4" t="s">
        <v>9</v>
      </c>
    </row>
    <row r="5" spans="1:2" x14ac:dyDescent="0.35">
      <c r="A5" s="1" t="s">
        <v>4</v>
      </c>
      <c r="B5" t="s">
        <v>2</v>
      </c>
    </row>
    <row r="6" spans="1:2" x14ac:dyDescent="0.35">
      <c r="A6" s="1" t="s">
        <v>5</v>
      </c>
      <c r="B6" t="s">
        <v>10</v>
      </c>
    </row>
    <row r="7" spans="1:2" x14ac:dyDescent="0.35">
      <c r="A7" s="1" t="s">
        <v>6</v>
      </c>
      <c r="B7" t="s">
        <v>2</v>
      </c>
    </row>
    <row r="8" spans="1:2" x14ac:dyDescent="0.35">
      <c r="A8" s="1" t="s">
        <v>7</v>
      </c>
      <c r="B8" t="s">
        <v>8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05508-D16C-4353-931C-F79A98E36EEE}">
  <sheetPr>
    <tabColor rgb="FFFFC000"/>
  </sheetPr>
  <dimension ref="A1:G39"/>
  <sheetViews>
    <sheetView zoomScale="80" zoomScaleNormal="80" workbookViewId="0"/>
  </sheetViews>
  <sheetFormatPr defaultRowHeight="15.5" outlineLevelRow="1" x14ac:dyDescent="0.35"/>
  <cols>
    <col min="1" max="1" width="8.2109375" customWidth="1"/>
    <col min="2" max="5" width="14.140625" style="2" bestFit="1" customWidth="1"/>
    <col min="6" max="6" width="15.2109375" bestFit="1" customWidth="1"/>
    <col min="7" max="7" width="6" bestFit="1" customWidth="1"/>
  </cols>
  <sheetData>
    <row r="1" spans="1:7" x14ac:dyDescent="0.35">
      <c r="A1" t="s">
        <v>53</v>
      </c>
    </row>
    <row r="2" spans="1:7" x14ac:dyDescent="0.35">
      <c r="A2" t="s">
        <v>12</v>
      </c>
      <c r="F2" s="3" t="s">
        <v>13</v>
      </c>
    </row>
    <row r="3" spans="1:7" ht="0.5" customHeight="1" x14ac:dyDescent="0.35">
      <c r="F3" s="3"/>
    </row>
    <row r="4" spans="1:7" x14ac:dyDescent="0.35">
      <c r="A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</row>
    <row r="5" spans="1:7" x14ac:dyDescent="0.35">
      <c r="A5" s="6" t="s">
        <v>33</v>
      </c>
      <c r="B5" s="7">
        <v>420353169</v>
      </c>
      <c r="C5" s="7">
        <v>452414536</v>
      </c>
      <c r="D5" s="7">
        <v>419251160</v>
      </c>
      <c r="E5" s="7">
        <v>482248253</v>
      </c>
      <c r="F5" s="8">
        <f t="shared" ref="F5:F26" si="0">SUM(B5:E5)</f>
        <v>1774267118</v>
      </c>
      <c r="G5" s="6">
        <f t="shared" ref="G5:G26" si="1">RANK(F5,$F$5:$F$26,0)</f>
        <v>1</v>
      </c>
    </row>
    <row r="6" spans="1:7" x14ac:dyDescent="0.35">
      <c r="A6" s="12" t="s">
        <v>36</v>
      </c>
      <c r="B6" s="13">
        <v>387647902</v>
      </c>
      <c r="C6" s="13">
        <v>422915897</v>
      </c>
      <c r="D6" s="13">
        <v>357780713</v>
      </c>
      <c r="E6" s="13">
        <v>355099234</v>
      </c>
      <c r="F6" s="14">
        <f t="shared" si="0"/>
        <v>1523443746</v>
      </c>
      <c r="G6" s="12">
        <f t="shared" si="1"/>
        <v>2</v>
      </c>
    </row>
    <row r="7" spans="1:7" x14ac:dyDescent="0.35">
      <c r="A7" s="6" t="s">
        <v>25</v>
      </c>
      <c r="B7" s="7">
        <v>351936161</v>
      </c>
      <c r="C7" s="7">
        <v>410874901</v>
      </c>
      <c r="D7" s="7">
        <v>360065638</v>
      </c>
      <c r="E7" s="7">
        <v>376143135</v>
      </c>
      <c r="F7" s="8">
        <f t="shared" si="0"/>
        <v>1499019835</v>
      </c>
      <c r="G7" s="6">
        <f t="shared" si="1"/>
        <v>3</v>
      </c>
    </row>
    <row r="8" spans="1:7" x14ac:dyDescent="0.35">
      <c r="A8" t="s">
        <v>30</v>
      </c>
      <c r="B8" s="2">
        <v>289628958</v>
      </c>
      <c r="C8" s="2">
        <v>324697872</v>
      </c>
      <c r="D8" s="2">
        <v>343784283</v>
      </c>
      <c r="E8" s="2">
        <v>305180016</v>
      </c>
      <c r="F8" s="5">
        <f t="shared" si="0"/>
        <v>1263291129</v>
      </c>
      <c r="G8">
        <f t="shared" si="1"/>
        <v>4</v>
      </c>
    </row>
    <row r="9" spans="1:7" x14ac:dyDescent="0.35">
      <c r="A9" t="s">
        <v>24</v>
      </c>
      <c r="B9" s="2">
        <v>226750975</v>
      </c>
      <c r="C9" s="2">
        <v>274111258</v>
      </c>
      <c r="D9" s="2">
        <v>259533626</v>
      </c>
      <c r="E9" s="2">
        <v>380699882</v>
      </c>
      <c r="F9" s="5">
        <f t="shared" si="0"/>
        <v>1141095741</v>
      </c>
      <c r="G9">
        <f t="shared" si="1"/>
        <v>5</v>
      </c>
    </row>
    <row r="10" spans="1:7" x14ac:dyDescent="0.35">
      <c r="A10" t="s">
        <v>31</v>
      </c>
      <c r="B10" s="2">
        <v>171646301</v>
      </c>
      <c r="C10" s="2">
        <v>207413916</v>
      </c>
      <c r="D10" s="2">
        <v>227017800</v>
      </c>
      <c r="E10" s="2">
        <v>224054055</v>
      </c>
      <c r="F10" s="5">
        <f t="shared" si="0"/>
        <v>830132072</v>
      </c>
      <c r="G10">
        <f t="shared" si="1"/>
        <v>6</v>
      </c>
    </row>
    <row r="11" spans="1:7" x14ac:dyDescent="0.35">
      <c r="A11" s="9" t="s">
        <v>34</v>
      </c>
      <c r="B11" s="10">
        <v>190348828</v>
      </c>
      <c r="C11" s="10">
        <v>212861096</v>
      </c>
      <c r="D11" s="10">
        <v>186004677</v>
      </c>
      <c r="E11" s="10">
        <v>222643164</v>
      </c>
      <c r="F11" s="11">
        <f t="shared" si="0"/>
        <v>811857765</v>
      </c>
      <c r="G11" s="9">
        <f t="shared" si="1"/>
        <v>7</v>
      </c>
    </row>
    <row r="12" spans="1:7" x14ac:dyDescent="0.35">
      <c r="A12" t="s">
        <v>28</v>
      </c>
      <c r="B12" s="2">
        <v>178244341</v>
      </c>
      <c r="C12" s="2">
        <v>214833349</v>
      </c>
      <c r="D12" s="2">
        <v>196217852</v>
      </c>
      <c r="E12" s="2">
        <v>214419394</v>
      </c>
      <c r="F12" s="5">
        <f t="shared" si="0"/>
        <v>803714936</v>
      </c>
      <c r="G12">
        <f t="shared" si="1"/>
        <v>8</v>
      </c>
    </row>
    <row r="13" spans="1:7" x14ac:dyDescent="0.35">
      <c r="A13" t="s">
        <v>21</v>
      </c>
      <c r="B13" s="2">
        <v>170961119</v>
      </c>
      <c r="C13" s="2">
        <v>194383081</v>
      </c>
      <c r="D13" s="2">
        <v>190022532</v>
      </c>
      <c r="E13" s="2">
        <v>212850431</v>
      </c>
      <c r="F13" s="5">
        <f t="shared" si="0"/>
        <v>768217163</v>
      </c>
      <c r="G13">
        <f t="shared" si="1"/>
        <v>9</v>
      </c>
    </row>
    <row r="14" spans="1:7" x14ac:dyDescent="0.35">
      <c r="A14" s="9" t="s">
        <v>38</v>
      </c>
      <c r="B14" s="10">
        <v>173773475</v>
      </c>
      <c r="C14" s="10">
        <v>213621480</v>
      </c>
      <c r="D14" s="10">
        <v>177898498</v>
      </c>
      <c r="E14" s="10">
        <v>177720309</v>
      </c>
      <c r="F14" s="11">
        <f t="shared" si="0"/>
        <v>743013762</v>
      </c>
      <c r="G14" s="9">
        <f t="shared" si="1"/>
        <v>10</v>
      </c>
    </row>
    <row r="15" spans="1:7" x14ac:dyDescent="0.35">
      <c r="A15" s="15" t="s">
        <v>37</v>
      </c>
      <c r="B15" s="16">
        <v>156039878</v>
      </c>
      <c r="C15" s="16">
        <v>192656060</v>
      </c>
      <c r="D15" s="16">
        <v>178132656</v>
      </c>
      <c r="E15" s="16">
        <v>194408621</v>
      </c>
      <c r="F15" s="17">
        <f t="shared" si="0"/>
        <v>721237215</v>
      </c>
      <c r="G15" s="15">
        <f t="shared" si="1"/>
        <v>11</v>
      </c>
    </row>
    <row r="16" spans="1:7" x14ac:dyDescent="0.35">
      <c r="A16" t="s">
        <v>32</v>
      </c>
      <c r="B16" s="2">
        <v>145476723</v>
      </c>
      <c r="C16" s="2">
        <v>175399702</v>
      </c>
      <c r="D16" s="2">
        <v>173507043</v>
      </c>
      <c r="E16" s="2">
        <v>194920309</v>
      </c>
      <c r="F16" s="5">
        <f t="shared" si="0"/>
        <v>689303777</v>
      </c>
      <c r="G16">
        <f t="shared" si="1"/>
        <v>12</v>
      </c>
    </row>
    <row r="17" spans="1:7" x14ac:dyDescent="0.35">
      <c r="A17" t="s">
        <v>29</v>
      </c>
      <c r="B17" s="2">
        <v>141680502</v>
      </c>
      <c r="C17" s="2">
        <v>161579438</v>
      </c>
      <c r="D17" s="2">
        <v>156353833</v>
      </c>
      <c r="E17" s="2">
        <v>169804961</v>
      </c>
      <c r="F17" s="5">
        <f t="shared" si="0"/>
        <v>629418734</v>
      </c>
      <c r="G17">
        <f t="shared" si="1"/>
        <v>13</v>
      </c>
    </row>
    <row r="18" spans="1:7" x14ac:dyDescent="0.35">
      <c r="A18" t="s">
        <v>22</v>
      </c>
      <c r="B18" s="2">
        <v>181580727</v>
      </c>
      <c r="C18" s="2">
        <v>149702761</v>
      </c>
      <c r="D18" s="2">
        <v>120636348</v>
      </c>
      <c r="E18" s="2">
        <v>147703999</v>
      </c>
      <c r="F18" s="5">
        <f t="shared" si="0"/>
        <v>599623835</v>
      </c>
      <c r="G18">
        <f t="shared" si="1"/>
        <v>14</v>
      </c>
    </row>
    <row r="19" spans="1:7" x14ac:dyDescent="0.35">
      <c r="A19" t="s">
        <v>39</v>
      </c>
      <c r="B19" s="2">
        <v>141653917</v>
      </c>
      <c r="C19" s="2">
        <v>130384241</v>
      </c>
      <c r="D19" s="2">
        <v>136013082</v>
      </c>
      <c r="E19" s="2">
        <v>139659395</v>
      </c>
      <c r="F19" s="5">
        <f t="shared" si="0"/>
        <v>547710635</v>
      </c>
      <c r="G19">
        <f t="shared" si="1"/>
        <v>15</v>
      </c>
    </row>
    <row r="20" spans="1:7" x14ac:dyDescent="0.35">
      <c r="A20" s="9" t="s">
        <v>35</v>
      </c>
      <c r="B20" s="10">
        <v>99705742</v>
      </c>
      <c r="C20" s="10">
        <v>133850998</v>
      </c>
      <c r="D20" s="10">
        <v>134224537</v>
      </c>
      <c r="E20" s="10">
        <v>129572619</v>
      </c>
      <c r="F20" s="11">
        <f t="shared" si="0"/>
        <v>497353896</v>
      </c>
      <c r="G20" s="9">
        <f t="shared" si="1"/>
        <v>16</v>
      </c>
    </row>
    <row r="21" spans="1:7" x14ac:dyDescent="0.35">
      <c r="A21" t="s">
        <v>23</v>
      </c>
      <c r="B21" s="2">
        <v>111482318</v>
      </c>
      <c r="C21" s="2">
        <v>129855079</v>
      </c>
      <c r="D21" s="2">
        <v>110447172</v>
      </c>
      <c r="E21" s="2">
        <v>137945221</v>
      </c>
      <c r="F21" s="5">
        <f t="shared" si="0"/>
        <v>489729790</v>
      </c>
      <c r="G21">
        <f t="shared" si="1"/>
        <v>17</v>
      </c>
    </row>
    <row r="22" spans="1:7" x14ac:dyDescent="0.35">
      <c r="A22" t="s">
        <v>26</v>
      </c>
      <c r="B22" s="2">
        <v>68416724</v>
      </c>
      <c r="C22" s="2">
        <v>85262459</v>
      </c>
      <c r="D22" s="2">
        <v>91304439</v>
      </c>
      <c r="E22" s="2">
        <v>105170469</v>
      </c>
      <c r="F22" s="5">
        <f t="shared" si="0"/>
        <v>350154091</v>
      </c>
      <c r="G22">
        <f t="shared" si="1"/>
        <v>18</v>
      </c>
    </row>
    <row r="23" spans="1:7" x14ac:dyDescent="0.35">
      <c r="A23" t="s">
        <v>27</v>
      </c>
      <c r="B23" s="2">
        <v>69779920</v>
      </c>
      <c r="C23" s="2">
        <v>91086342</v>
      </c>
      <c r="D23" s="2">
        <v>77954556</v>
      </c>
      <c r="E23" s="2">
        <v>83076196</v>
      </c>
      <c r="F23" s="5">
        <f t="shared" si="0"/>
        <v>321897014</v>
      </c>
      <c r="G23">
        <f t="shared" si="1"/>
        <v>19</v>
      </c>
    </row>
    <row r="24" spans="1:7" x14ac:dyDescent="0.35">
      <c r="A24" t="s">
        <v>40</v>
      </c>
      <c r="B24" s="2">
        <v>24433627</v>
      </c>
      <c r="C24" s="2">
        <v>19902249</v>
      </c>
      <c r="D24" s="2">
        <v>17187628</v>
      </c>
      <c r="E24" s="2">
        <v>26675693</v>
      </c>
      <c r="F24" s="5">
        <f t="shared" si="0"/>
        <v>88199197</v>
      </c>
      <c r="G24">
        <f t="shared" si="1"/>
        <v>20</v>
      </c>
    </row>
    <row r="25" spans="1:7" x14ac:dyDescent="0.35">
      <c r="A25" t="s">
        <v>41</v>
      </c>
      <c r="B25" s="2">
        <v>18454554</v>
      </c>
      <c r="C25" s="2">
        <v>14781025</v>
      </c>
      <c r="D25" s="2">
        <v>19309801</v>
      </c>
      <c r="E25" s="2">
        <v>28608330</v>
      </c>
      <c r="F25" s="5">
        <f t="shared" si="0"/>
        <v>81153710</v>
      </c>
      <c r="G25">
        <f t="shared" si="1"/>
        <v>21</v>
      </c>
    </row>
    <row r="26" spans="1:7" x14ac:dyDescent="0.35">
      <c r="A26" t="s">
        <v>42</v>
      </c>
      <c r="B26" s="2">
        <v>1102130</v>
      </c>
      <c r="C26" s="2">
        <v>1352117</v>
      </c>
      <c r="D26" s="2">
        <v>896316</v>
      </c>
      <c r="E26" s="2">
        <v>1382098</v>
      </c>
      <c r="F26" s="5">
        <f t="shared" si="0"/>
        <v>4732661</v>
      </c>
      <c r="G26">
        <f t="shared" si="1"/>
        <v>22</v>
      </c>
    </row>
    <row r="27" spans="1:7" hidden="1" x14ac:dyDescent="0.35">
      <c r="F27" s="5"/>
    </row>
    <row r="28" spans="1:7" x14ac:dyDescent="0.35">
      <c r="A28" t="s">
        <v>43</v>
      </c>
      <c r="B28" s="2">
        <v>3721097991</v>
      </c>
      <c r="C28" s="2">
        <v>4213939857</v>
      </c>
      <c r="D28" s="2">
        <v>3933544190</v>
      </c>
      <c r="E28" s="2">
        <v>4309985784</v>
      </c>
      <c r="F28" s="5">
        <f>SUM(B28:E28)</f>
        <v>16178567822</v>
      </c>
    </row>
    <row r="29" spans="1:7" hidden="1" x14ac:dyDescent="0.35">
      <c r="F29" s="5"/>
    </row>
    <row r="30" spans="1:7" hidden="1" outlineLevel="1" x14ac:dyDescent="0.35">
      <c r="A30" t="s">
        <v>44</v>
      </c>
      <c r="B30" s="2">
        <v>211840586</v>
      </c>
      <c r="C30" s="2" t="s">
        <v>45</v>
      </c>
      <c r="D30" s="2" t="s">
        <v>45</v>
      </c>
      <c r="E30" s="2" t="s">
        <v>45</v>
      </c>
    </row>
    <row r="31" spans="1:7" hidden="1" outlineLevel="1" x14ac:dyDescent="0.35">
      <c r="A31" t="s">
        <v>43</v>
      </c>
      <c r="B31" s="2">
        <v>211840586</v>
      </c>
      <c r="C31" s="2" t="s">
        <v>45</v>
      </c>
      <c r="D31" s="2" t="s">
        <v>45</v>
      </c>
      <c r="E31" s="2" t="s">
        <v>45</v>
      </c>
    </row>
    <row r="32" spans="1:7" hidden="1" outlineLevel="1" x14ac:dyDescent="0.35">
      <c r="A32" t="s">
        <v>46</v>
      </c>
      <c r="B32" s="2" t="s">
        <v>45</v>
      </c>
      <c r="C32" s="2" t="s">
        <v>45</v>
      </c>
      <c r="D32" s="2" t="s">
        <v>45</v>
      </c>
      <c r="E32" s="2" t="s">
        <v>45</v>
      </c>
    </row>
    <row r="33" spans="1:5" hidden="1" outlineLevel="1" x14ac:dyDescent="0.35">
      <c r="A33" t="s">
        <v>47</v>
      </c>
      <c r="B33" s="2" t="s">
        <v>45</v>
      </c>
      <c r="C33" s="2" t="s">
        <v>45</v>
      </c>
      <c r="D33" s="2" t="s">
        <v>45</v>
      </c>
      <c r="E33" s="2" t="s">
        <v>45</v>
      </c>
    </row>
    <row r="34" spans="1:5" hidden="1" outlineLevel="1" x14ac:dyDescent="0.35">
      <c r="A34" t="s">
        <v>48</v>
      </c>
      <c r="B34" s="2" t="s">
        <v>45</v>
      </c>
      <c r="C34" s="2" t="s">
        <v>45</v>
      </c>
      <c r="D34" s="2" t="s">
        <v>45</v>
      </c>
      <c r="E34" s="2" t="s">
        <v>45</v>
      </c>
    </row>
    <row r="35" spans="1:5" hidden="1" outlineLevel="1" x14ac:dyDescent="0.35">
      <c r="A35" t="s">
        <v>49</v>
      </c>
      <c r="B35" s="2" t="s">
        <v>45</v>
      </c>
      <c r="C35" s="2" t="s">
        <v>45</v>
      </c>
      <c r="D35" s="2" t="s">
        <v>45</v>
      </c>
      <c r="E35" s="2" t="s">
        <v>45</v>
      </c>
    </row>
    <row r="36" spans="1:5" hidden="1" outlineLevel="1" x14ac:dyDescent="0.35">
      <c r="A36" t="s">
        <v>50</v>
      </c>
      <c r="B36" s="2" t="s">
        <v>45</v>
      </c>
      <c r="C36" s="2" t="s">
        <v>45</v>
      </c>
      <c r="D36" s="2" t="s">
        <v>45</v>
      </c>
      <c r="E36" s="2" t="s">
        <v>45</v>
      </c>
    </row>
    <row r="37" spans="1:5" hidden="1" outlineLevel="1" x14ac:dyDescent="0.35">
      <c r="A37" t="s">
        <v>51</v>
      </c>
      <c r="B37" s="2">
        <v>1688973032</v>
      </c>
      <c r="C37" s="2" t="s">
        <v>45</v>
      </c>
      <c r="D37" s="2" t="s">
        <v>45</v>
      </c>
      <c r="E37" s="2" t="s">
        <v>45</v>
      </c>
    </row>
    <row r="38" spans="1:5" hidden="1" outlineLevel="1" x14ac:dyDescent="0.35">
      <c r="A38" t="s">
        <v>52</v>
      </c>
      <c r="B38" s="2">
        <v>5621911609</v>
      </c>
      <c r="C38" s="2" t="s">
        <v>45</v>
      </c>
      <c r="D38" s="2" t="s">
        <v>45</v>
      </c>
      <c r="E38" s="2" t="s">
        <v>45</v>
      </c>
    </row>
    <row r="39" spans="1:5" collapsed="1" x14ac:dyDescent="0.35"/>
  </sheetData>
  <autoFilter ref="A4:G28" xr:uid="{1F905508-D16C-4353-931C-F79A98E36EEE}"/>
  <sortState xmlns:xlrd2="http://schemas.microsoft.com/office/spreadsheetml/2017/richdata2" ref="A5:G26">
    <sortCondition ref="G5:G26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07647-6401-44E9-8F77-19C8FD7637DC}">
  <dimension ref="A1"/>
  <sheetViews>
    <sheetView workbookViewId="0">
      <selection activeCell="J6" sqref="J6"/>
    </sheetView>
  </sheetViews>
  <sheetFormatPr defaultRowHeight="15.5" x14ac:dyDescent="0.3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8FCA8-9AE5-4F21-80AE-193737E8155E}">
  <dimension ref="A1"/>
  <sheetViews>
    <sheetView tabSelected="1" workbookViewId="0">
      <selection activeCell="B19" sqref="B19"/>
    </sheetView>
  </sheetViews>
  <sheetFormatPr defaultRowHeight="15.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每十萬人死亡人數</vt:lpstr>
      <vt:lpstr>道路交通違規罰鍰收入各縣市分配金額</vt:lpstr>
      <vt:lpstr>全國死亡人數前十大運具統計</vt:lpstr>
      <vt:lpstr>全國高齡者(65歲以上)件數前十大運具統計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Youchi Zhang</dc:creator>
  <cp:lastModifiedBy>Youchi Zhang</cp:lastModifiedBy>
  <dcterms:created xsi:type="dcterms:W3CDTF">2026-09-05T12:11:22Z</dcterms:created>
  <dcterms:modified xsi:type="dcterms:W3CDTF">2026-09-06T07:30:53Z</dcterms:modified>
</cp:coreProperties>
</file>